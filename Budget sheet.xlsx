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ashi Kant\Downloads\"/>
    </mc:Choice>
  </mc:AlternateContent>
  <xr:revisionPtr revIDLastSave="0" documentId="13_ncr:1_{2B23FD3C-AE3C-4D00-862F-B1180FF810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dget 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F46" i="1"/>
  <c r="E46" i="1"/>
  <c r="F45" i="1"/>
  <c r="E45" i="1"/>
  <c r="E20" i="1"/>
  <c r="F30" i="1"/>
  <c r="E30" i="1"/>
  <c r="F29" i="1"/>
  <c r="F41" i="1" s="1"/>
  <c r="E29" i="1"/>
  <c r="F28" i="1"/>
  <c r="E28" i="1"/>
  <c r="E31" i="1"/>
  <c r="F25" i="1" l="1"/>
  <c r="F21" i="1"/>
  <c r="E25" i="1"/>
  <c r="E24" i="1"/>
  <c r="E26" i="1" l="1"/>
  <c r="E21" i="1"/>
  <c r="E39" i="1" l="1"/>
  <c r="E41" i="1" s="1"/>
  <c r="E43" i="1" l="1"/>
  <c r="E48" i="1" s="1"/>
  <c r="F38" i="1"/>
  <c r="E22" i="1" l="1"/>
  <c r="C9" i="1" l="1"/>
  <c r="F22" i="1" l="1"/>
  <c r="F24" i="1" l="1"/>
  <c r="F26" i="1" s="1"/>
  <c r="F43" i="1" s="1"/>
  <c r="F48" i="1" s="1"/>
</calcChain>
</file>

<file path=xl/sharedStrings.xml><?xml version="1.0" encoding="utf-8"?>
<sst xmlns="http://schemas.openxmlformats.org/spreadsheetml/2006/main" count="95" uniqueCount="92">
  <si>
    <t>INDIAN INSTITUTE OF MANAGEMENT SIRMAUR</t>
  </si>
  <si>
    <t>From:</t>
  </si>
  <si>
    <t>To:</t>
  </si>
  <si>
    <t>Director</t>
  </si>
  <si>
    <t>Date:</t>
  </si>
  <si>
    <t xml:space="preserve">Work Order No: </t>
  </si>
  <si>
    <t>A</t>
  </si>
  <si>
    <t>A.1</t>
  </si>
  <si>
    <t>A.2</t>
  </si>
  <si>
    <t>Overheads of IIM sirmaur</t>
  </si>
  <si>
    <t xml:space="preserve">Post Hoc Assesment </t>
  </si>
  <si>
    <t>Photograph</t>
  </si>
  <si>
    <t>Certificate Printing</t>
  </si>
  <si>
    <t>C</t>
  </si>
  <si>
    <t>D</t>
  </si>
  <si>
    <t>Faculty Honorarium</t>
  </si>
  <si>
    <t>Nature of MDP</t>
  </si>
  <si>
    <t>Number of Equivalent Days</t>
  </si>
  <si>
    <t>Online</t>
  </si>
  <si>
    <t>Offline</t>
  </si>
  <si>
    <t>MDP Title:</t>
  </si>
  <si>
    <t>Programme Details</t>
  </si>
  <si>
    <t>Number of Participants (Proposed)</t>
  </si>
  <si>
    <t>Number of Participants (Actuals)</t>
  </si>
  <si>
    <t>GST</t>
  </si>
  <si>
    <t xml:space="preserve">Number of Hours </t>
  </si>
  <si>
    <t>Marketing Partner:</t>
  </si>
  <si>
    <t xml:space="preserve">Stationery Kits </t>
  </si>
  <si>
    <r>
      <rPr>
        <b/>
        <sz val="14"/>
        <color theme="1"/>
        <rFont val="Times New Roman"/>
        <family val="1"/>
      </rPr>
      <t>Venue:</t>
    </r>
    <r>
      <rPr>
        <sz val="14"/>
        <color theme="1"/>
        <rFont val="Times New Roman"/>
        <family val="1"/>
      </rPr>
      <t xml:space="preserve">  </t>
    </r>
  </si>
  <si>
    <r>
      <rPr>
        <b/>
        <sz val="14"/>
        <color theme="1"/>
        <rFont val="Times New Roman"/>
        <family val="1"/>
      </rPr>
      <t>Programme Dates:</t>
    </r>
    <r>
      <rPr>
        <sz val="14"/>
        <color theme="1"/>
        <rFont val="Times New Roman"/>
        <family val="1"/>
      </rPr>
      <t xml:space="preserve">  </t>
    </r>
  </si>
  <si>
    <r>
      <rPr>
        <b/>
        <sz val="14"/>
        <color theme="1"/>
        <rFont val="Times New Roman"/>
        <family val="1"/>
      </rPr>
      <t>Programme Director/s:</t>
    </r>
    <r>
      <rPr>
        <sz val="14"/>
        <color theme="1"/>
        <rFont val="Times New Roman"/>
        <family val="1"/>
      </rPr>
      <t xml:space="preserve"> </t>
    </r>
  </si>
  <si>
    <r>
      <rPr>
        <b/>
        <sz val="14"/>
        <color theme="1"/>
        <rFont val="Times New Roman"/>
        <family val="1"/>
      </rPr>
      <t>Sponsoring Organization:</t>
    </r>
    <r>
      <rPr>
        <sz val="14"/>
        <color theme="1"/>
        <rFont val="Times New Roman"/>
        <family val="1"/>
      </rPr>
      <t xml:space="preserve"> </t>
    </r>
  </si>
  <si>
    <t xml:space="preserve">Study Material (Books, Cases, Articles and Reading Articles ) &amp; Sprial Binding </t>
  </si>
  <si>
    <t xml:space="preserve">Scholarship </t>
  </si>
  <si>
    <r>
      <rPr>
        <b/>
        <sz val="18"/>
        <color theme="1"/>
        <rFont val="Times New Roman"/>
        <family val="1"/>
      </rPr>
      <t>प्रस्तावित बजट पत्र</t>
    </r>
    <r>
      <rPr>
        <b/>
        <sz val="14"/>
        <color theme="1"/>
        <rFont val="Times New Roman"/>
        <family val="1"/>
      </rPr>
      <t xml:space="preserve"> / PROPOSED BUDGET SHEET</t>
    </r>
  </si>
  <si>
    <t>Prog Secretary Honorarium</t>
  </si>
  <si>
    <r>
      <rPr>
        <b/>
        <sz val="18"/>
        <color theme="1"/>
        <rFont val="Times New Roman"/>
        <family val="1"/>
      </rPr>
      <t>आय/</t>
    </r>
    <r>
      <rPr>
        <b/>
        <sz val="14"/>
        <color theme="1"/>
        <rFont val="Times New Roman"/>
        <family val="1"/>
      </rPr>
      <t>Income</t>
    </r>
  </si>
  <si>
    <r>
      <rPr>
        <b/>
        <sz val="18"/>
        <color theme="1"/>
        <rFont val="Times New Roman"/>
        <family val="1"/>
      </rPr>
      <t>व्यय/</t>
    </r>
    <r>
      <rPr>
        <b/>
        <sz val="14"/>
        <color theme="1"/>
        <rFont val="Times New Roman"/>
        <family val="1"/>
      </rPr>
      <t>Expenses</t>
    </r>
  </si>
  <si>
    <r>
      <t xml:space="preserve">Proposed
</t>
    </r>
    <r>
      <rPr>
        <b/>
        <sz val="16"/>
        <color theme="1"/>
        <rFont val="Times New Roman"/>
        <family val="1"/>
      </rPr>
      <t>प्रस्तावित</t>
    </r>
    <r>
      <rPr>
        <b/>
        <sz val="14"/>
        <color theme="1"/>
        <rFont val="Times New Roman"/>
        <family val="1"/>
      </rPr>
      <t xml:space="preserve">
(</t>
    </r>
    <r>
      <rPr>
        <b/>
        <sz val="14"/>
        <color theme="1"/>
        <rFont val="Calibri"/>
        <family val="2"/>
      </rPr>
      <t>₹</t>
    </r>
    <r>
      <rPr>
        <b/>
        <sz val="14"/>
        <color theme="1"/>
        <rFont val="Times New Roman"/>
        <family val="1"/>
      </rPr>
      <t>)</t>
    </r>
  </si>
  <si>
    <r>
      <t xml:space="preserve">Actuals
</t>
    </r>
    <r>
      <rPr>
        <b/>
        <sz val="16"/>
        <color theme="1"/>
        <rFont val="Times New Roman"/>
        <family val="1"/>
      </rPr>
      <t>वास्तविक</t>
    </r>
    <r>
      <rPr>
        <b/>
        <sz val="14"/>
        <color theme="1"/>
        <rFont val="Times New Roman"/>
        <family val="1"/>
      </rPr>
      <t xml:space="preserve">
(</t>
    </r>
    <r>
      <rPr>
        <b/>
        <sz val="14"/>
        <color theme="1"/>
        <rFont val="Calibri"/>
        <family val="2"/>
      </rPr>
      <t>₹</t>
    </r>
    <r>
      <rPr>
        <b/>
        <sz val="14"/>
        <color theme="1"/>
        <rFont val="Times New Roman"/>
        <family val="1"/>
      </rPr>
      <t>)</t>
    </r>
  </si>
  <si>
    <r>
      <t xml:space="preserve">Remarks
</t>
    </r>
    <r>
      <rPr>
        <b/>
        <sz val="16"/>
        <color theme="1"/>
        <rFont val="Times New Roman"/>
        <family val="1"/>
      </rPr>
      <t>टिप्पणी</t>
    </r>
  </si>
  <si>
    <t>Banner &amp; Standee</t>
  </si>
  <si>
    <r>
      <rPr>
        <b/>
        <sz val="18"/>
        <color theme="1"/>
        <rFont val="Times New Roman"/>
        <family val="1"/>
      </rPr>
      <t>एमडीपी बजट शीट के प्रशासनिक और वित्तीय अनुमोदन के लिए अनुरोध</t>
    </r>
    <r>
      <rPr>
        <b/>
        <sz val="14"/>
        <color theme="1"/>
        <rFont val="Times New Roman"/>
        <family val="1"/>
      </rPr>
      <t xml:space="preserve">
Request for Adminitrative and Financial approval of MDP Budget
</t>
    </r>
    <r>
      <rPr>
        <b/>
        <sz val="18"/>
        <color theme="1"/>
        <rFont val="Times New Roman"/>
        <family val="1"/>
      </rPr>
      <t>अंतरिम कार्यालय ज्ञापन</t>
    </r>
    <r>
      <rPr>
        <b/>
        <sz val="14"/>
        <color theme="1"/>
        <rFont val="Times New Roman"/>
        <family val="1"/>
      </rPr>
      <t xml:space="preserve"> / Inter Office Memo: IOM/CMDP/2025-26/</t>
    </r>
  </si>
  <si>
    <t>CMDP/WO/2025-26/</t>
  </si>
  <si>
    <t>सीएमडीपी कार्यालय / CMDP Office</t>
  </si>
  <si>
    <t>निदेशक / Director</t>
  </si>
  <si>
    <t>Logistics / Transportation (includes Cab and Bus Charges)</t>
  </si>
  <si>
    <t>IIM Sirmaur Share of Corpus Fund (25 % of A1)</t>
  </si>
  <si>
    <t>IIM Sirmaur Share of Staff welfare Fund (5 % of A1)</t>
  </si>
  <si>
    <t xml:space="preserve">Prog. Director's honorarium </t>
  </si>
  <si>
    <t xml:space="preserve">Balance after total Expenditure, IIM Corpus Fund &amp; IIM Sirmaur Staff Welfare Fund </t>
  </si>
  <si>
    <t>B1</t>
  </si>
  <si>
    <t>B2</t>
  </si>
  <si>
    <t>Food  (Breakfast, Lunch &amp; Dinner)</t>
  </si>
  <si>
    <t>C.1</t>
  </si>
  <si>
    <t>C.2</t>
  </si>
  <si>
    <t>C.3</t>
  </si>
  <si>
    <t>C.4</t>
  </si>
  <si>
    <t>C.5</t>
  </si>
  <si>
    <t>C.6</t>
  </si>
  <si>
    <t>C.7</t>
  </si>
  <si>
    <t>C.8</t>
  </si>
  <si>
    <t>C.9</t>
  </si>
  <si>
    <t>C.11</t>
  </si>
  <si>
    <t>C.12</t>
  </si>
  <si>
    <r>
      <t xml:space="preserve">C </t>
    </r>
    <r>
      <rPr>
        <b/>
        <sz val="16"/>
        <color theme="1"/>
        <rFont val="Times New Roman"/>
        <family val="1"/>
      </rPr>
      <t>का कुल योग</t>
    </r>
    <r>
      <rPr>
        <b/>
        <sz val="14"/>
        <color theme="1"/>
        <rFont val="Times New Roman"/>
        <family val="1"/>
      </rPr>
      <t>/ Total of C</t>
    </r>
  </si>
  <si>
    <r>
      <t xml:space="preserve">A </t>
    </r>
    <r>
      <rPr>
        <sz val="16"/>
        <color theme="1"/>
        <rFont val="Times New Roman"/>
        <family val="1"/>
      </rPr>
      <t>का कुल योग/</t>
    </r>
    <r>
      <rPr>
        <sz val="14"/>
        <color theme="1"/>
        <rFont val="Times New Roman"/>
        <family val="1"/>
      </rPr>
      <t>Total of A</t>
    </r>
  </si>
  <si>
    <t>Surplus if Any to IIM Sirmaur Fund</t>
  </si>
  <si>
    <t>Programme fees</t>
  </si>
  <si>
    <t>Accommodation (Guest House Charges)</t>
  </si>
  <si>
    <t>CMDP Chairperson</t>
  </si>
  <si>
    <t xml:space="preserve">Checked and Verified in Accordance with new CMDP Policy
CMDP Office                             </t>
  </si>
  <si>
    <t>D1</t>
  </si>
  <si>
    <t>D2</t>
  </si>
  <si>
    <t>D3</t>
  </si>
  <si>
    <t>D4</t>
  </si>
  <si>
    <t>D5</t>
  </si>
  <si>
    <t>B</t>
  </si>
  <si>
    <t>B का कुल योग/Total of B</t>
  </si>
  <si>
    <t xml:space="preserve"> संस्थान अंश / Institute Share</t>
  </si>
  <si>
    <t>भुगतान/Payments</t>
  </si>
  <si>
    <t>SC Admin</t>
  </si>
  <si>
    <t>As per the quotation received from faculty</t>
  </si>
  <si>
    <t>Rs 7500 per day</t>
  </si>
  <si>
    <t>Rs 7500 per hour</t>
  </si>
  <si>
    <t>Classroom Charges (Rs. 2000/ per day)</t>
  </si>
  <si>
    <t xml:space="preserve">Miscellaneous Expenses </t>
  </si>
  <si>
    <t>(Remuneration to outsource staff/ external faculty)</t>
  </si>
  <si>
    <t>D6</t>
  </si>
  <si>
    <t>C.13</t>
  </si>
  <si>
    <t>Prepared By :                 
                                                                                                             Programme Director/s</t>
  </si>
  <si>
    <t>Professional/Participants' fees (per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</si>
</sst>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&gt;=10000000]##\,##\,##\,##0;[&gt;=100000]\ \ ##\,##\,##0;\ 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4"/>
      <name val="Times New Roman"/>
      <family val="1"/>
    </font>
    <font>
      <b/>
      <sz val="14"/>
      <color theme="1"/>
      <name val="Calibri"/>
      <family val="2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FF0000"/>
      <name val="Times New Roman"/>
      <family val="1"/>
    </font>
    <font>
      <sz val="18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7">
    <xf numFmtId="0" fontId="0" fillId="0" borderId="0" xfId="0"/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 indent="1"/>
    </xf>
    <xf numFmtId="3" fontId="5" fillId="0" borderId="10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wrapText="1" indent="1"/>
    </xf>
    <xf numFmtId="3" fontId="5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indent="1"/>
    </xf>
    <xf numFmtId="0" fontId="4" fillId="0" borderId="7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indent="1"/>
    </xf>
    <xf numFmtId="0" fontId="4" fillId="0" borderId="39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 vertical="center" indent="1"/>
    </xf>
    <xf numFmtId="0" fontId="10" fillId="0" borderId="0" xfId="0" applyFont="1"/>
    <xf numFmtId="0" fontId="4" fillId="0" borderId="12" xfId="0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14" fillId="0" borderId="0" xfId="0" applyFont="1"/>
    <xf numFmtId="0" fontId="5" fillId="0" borderId="16" xfId="0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7" fillId="0" borderId="53" xfId="0" applyFont="1" applyBorder="1"/>
    <xf numFmtId="3" fontId="5" fillId="0" borderId="1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17" fillId="0" borderId="58" xfId="0" applyFont="1" applyBorder="1"/>
    <xf numFmtId="0" fontId="5" fillId="0" borderId="22" xfId="0" applyFont="1" applyBorder="1" applyAlignment="1">
      <alignment horizontal="center" vertical="center"/>
    </xf>
    <xf numFmtId="165" fontId="4" fillId="0" borderId="60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4" fillId="0" borderId="54" xfId="0" applyFont="1" applyBorder="1" applyAlignment="1">
      <alignment vertical="center"/>
    </xf>
    <xf numFmtId="0" fontId="7" fillId="0" borderId="58" xfId="0" applyFont="1" applyBorder="1"/>
    <xf numFmtId="0" fontId="7" fillId="0" borderId="54" xfId="0" applyFont="1" applyBorder="1"/>
    <xf numFmtId="0" fontId="5" fillId="0" borderId="54" xfId="0" applyFont="1" applyBorder="1" applyAlignment="1">
      <alignment horizontal="center" vertical="center" wrapText="1"/>
    </xf>
    <xf numFmtId="0" fontId="7" fillId="0" borderId="65" xfId="0" applyFont="1" applyBorder="1"/>
    <xf numFmtId="3" fontId="4" fillId="0" borderId="66" xfId="0" applyNumberFormat="1" applyFont="1" applyBorder="1" applyAlignment="1">
      <alignment horizontal="center" vertical="center"/>
    </xf>
    <xf numFmtId="0" fontId="17" fillId="0" borderId="67" xfId="0" applyFont="1" applyBorder="1"/>
    <xf numFmtId="0" fontId="17" fillId="0" borderId="59" xfId="0" applyFont="1" applyBorder="1"/>
    <xf numFmtId="0" fontId="13" fillId="0" borderId="54" xfId="0" applyFont="1" applyBorder="1" applyAlignment="1">
      <alignment horizontal="center" vertical="center" wrapText="1"/>
    </xf>
    <xf numFmtId="0" fontId="7" fillId="0" borderId="64" xfId="0" applyFont="1" applyBorder="1"/>
    <xf numFmtId="0" fontId="7" fillId="0" borderId="53" xfId="0" applyFont="1" applyBorder="1"/>
    <xf numFmtId="165" fontId="4" fillId="0" borderId="61" xfId="0" applyNumberFormat="1" applyFont="1" applyBorder="1" applyAlignment="1">
      <alignment horizontal="center" vertical="center"/>
    </xf>
    <xf numFmtId="165" fontId="4" fillId="0" borderId="57" xfId="0" applyNumberFormat="1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7" fillId="0" borderId="70" xfId="0" applyFont="1" applyBorder="1"/>
    <xf numFmtId="0" fontId="4" fillId="0" borderId="5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3" fontId="15" fillId="0" borderId="54" xfId="0" applyNumberFormat="1" applyFont="1" applyBorder="1" applyAlignment="1">
      <alignment horizontal="center" vertical="center" wrapText="1"/>
    </xf>
    <xf numFmtId="0" fontId="15" fillId="0" borderId="54" xfId="0" applyFont="1" applyBorder="1" applyAlignment="1">
      <alignment wrapText="1"/>
    </xf>
    <xf numFmtId="0" fontId="15" fillId="0" borderId="26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60" xfId="0" applyFont="1" applyBorder="1" applyAlignment="1">
      <alignment horizontal="left" vertical="center" indent="1"/>
    </xf>
    <xf numFmtId="0" fontId="5" fillId="0" borderId="61" xfId="0" applyFont="1" applyBorder="1" applyAlignment="1">
      <alignment horizontal="left" vertical="center" indent="1"/>
    </xf>
    <xf numFmtId="0" fontId="5" fillId="0" borderId="62" xfId="0" applyFont="1" applyBorder="1" applyAlignment="1">
      <alignment horizontal="left" vertical="center" indent="1"/>
    </xf>
    <xf numFmtId="0" fontId="4" fillId="0" borderId="51" xfId="0" applyFont="1" applyBorder="1" applyAlignment="1">
      <alignment horizontal="left" vertical="center" indent="1"/>
    </xf>
    <xf numFmtId="0" fontId="4" fillId="0" borderId="56" xfId="0" applyFont="1" applyBorder="1" applyAlignment="1">
      <alignment horizontal="left" vertical="center" indent="1"/>
    </xf>
    <xf numFmtId="0" fontId="4" fillId="0" borderId="52" xfId="0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wrapText="1" indent="1"/>
    </xf>
    <xf numFmtId="0" fontId="5" fillId="0" borderId="48" xfId="0" applyFont="1" applyBorder="1" applyAlignment="1">
      <alignment horizontal="left" vertical="center" wrapText="1" indent="1"/>
    </xf>
    <xf numFmtId="0" fontId="5" fillId="0" borderId="49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4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63" xfId="0" applyFont="1" applyBorder="1" applyAlignment="1">
      <alignment horizontal="left" vertical="center" wrapText="1"/>
    </xf>
    <xf numFmtId="0" fontId="4" fillId="0" borderId="60" xfId="0" applyFont="1" applyBorder="1" applyAlignment="1">
      <alignment horizontal="left" vertical="center"/>
    </xf>
    <xf numFmtId="0" fontId="4" fillId="0" borderId="6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/>
    </xf>
    <xf numFmtId="0" fontId="4" fillId="0" borderId="73" xfId="0" applyFont="1" applyBorder="1" applyAlignment="1">
      <alignment horizontal="left" vertical="center"/>
    </xf>
    <xf numFmtId="0" fontId="4" fillId="0" borderId="69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30" xfId="0" applyFont="1" applyBorder="1" applyAlignment="1">
      <alignment horizontal="left" vertical="center" wrapText="1" indent="1"/>
    </xf>
    <xf numFmtId="0" fontId="11" fillId="0" borderId="2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 indent="2"/>
    </xf>
    <xf numFmtId="0" fontId="2" fillId="0" borderId="29" xfId="0" applyFont="1" applyBorder="1" applyAlignment="1">
      <alignment horizontal="left" vertical="center" wrapText="1" indent="2"/>
    </xf>
    <xf numFmtId="0" fontId="4" fillId="0" borderId="16" xfId="0" applyFont="1" applyBorder="1" applyAlignment="1">
      <alignment horizontal="left" vertical="center" indent="1"/>
    </xf>
    <xf numFmtId="0" fontId="4" fillId="0" borderId="9" xfId="0" applyFont="1" applyBorder="1" applyAlignment="1">
      <alignment horizontal="left" vertical="center" indent="1"/>
    </xf>
    <xf numFmtId="0" fontId="4" fillId="0" borderId="24" xfId="0" applyFont="1" applyBorder="1" applyAlignment="1">
      <alignment horizontal="left" vertical="center" indent="1"/>
    </xf>
    <xf numFmtId="15" fontId="6" fillId="0" borderId="15" xfId="0" applyNumberFormat="1" applyFont="1" applyBorder="1" applyAlignment="1">
      <alignment horizontal="left" vertical="center" wrapText="1" indent="1"/>
    </xf>
    <xf numFmtId="15" fontId="6" fillId="0" borderId="3" xfId="0" applyNumberFormat="1" applyFont="1" applyBorder="1" applyAlignment="1">
      <alignment horizontal="left" vertical="center" wrapText="1" indent="1"/>
    </xf>
    <xf numFmtId="15" fontId="6" fillId="0" borderId="30" xfId="0" applyNumberFormat="1" applyFont="1" applyBorder="1" applyAlignment="1">
      <alignment horizontal="left" vertical="center" wrapText="1" indent="1"/>
    </xf>
    <xf numFmtId="0" fontId="2" fillId="0" borderId="45" xfId="0" applyFont="1" applyBorder="1" applyAlignment="1">
      <alignment horizontal="left" vertical="center" wrapText="1" indent="1"/>
    </xf>
    <xf numFmtId="0" fontId="2" fillId="0" borderId="44" xfId="0" applyFont="1" applyBorder="1" applyAlignment="1">
      <alignment horizontal="left" vertical="center" wrapText="1" indent="1"/>
    </xf>
    <xf numFmtId="0" fontId="2" fillId="0" borderId="23" xfId="0" applyFont="1" applyBorder="1" applyAlignment="1">
      <alignment horizontal="left" vertical="center" wrapText="1" indent="1"/>
    </xf>
    <xf numFmtId="0" fontId="4" fillId="0" borderId="74" xfId="0" applyFont="1" applyBorder="1" applyAlignment="1">
      <alignment horizontal="center" wrapText="1"/>
    </xf>
    <xf numFmtId="0" fontId="4" fillId="0" borderId="75" xfId="0" applyFont="1" applyBorder="1" applyAlignment="1">
      <alignment horizontal="center" wrapText="1"/>
    </xf>
    <xf numFmtId="0" fontId="4" fillId="0" borderId="76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71" xfId="0" applyFont="1" applyBorder="1" applyAlignment="1">
      <alignment horizontal="center" wrapText="1"/>
    </xf>
    <xf numFmtId="0" fontId="4" fillId="0" borderId="51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1" xfId="0" applyFont="1" applyBorder="1" applyAlignment="1">
      <alignment horizontal="center" vertical="center" textRotation="90"/>
    </xf>
    <xf numFmtId="0" fontId="4" fillId="0" borderId="42" xfId="0" applyFont="1" applyBorder="1" applyAlignment="1">
      <alignment horizontal="center" vertical="center" textRotation="90"/>
    </xf>
    <xf numFmtId="0" fontId="4" fillId="0" borderId="43" xfId="0" applyFont="1" applyBorder="1" applyAlignment="1">
      <alignment horizontal="center" vertical="center" textRotation="90"/>
    </xf>
    <xf numFmtId="0" fontId="5" fillId="0" borderId="32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left" vertical="center" indent="1"/>
    </xf>
    <xf numFmtId="0" fontId="5" fillId="0" borderId="34" xfId="0" applyFont="1" applyBorder="1" applyAlignment="1">
      <alignment horizontal="left" vertical="center" indent="1"/>
    </xf>
    <xf numFmtId="0" fontId="5" fillId="0" borderId="25" xfId="0" applyFont="1" applyBorder="1" applyAlignment="1">
      <alignment horizontal="left" vertical="center" wrapText="1" indent="1"/>
    </xf>
    <xf numFmtId="17" fontId="5" fillId="0" borderId="1" xfId="0" applyNumberFormat="1" applyFont="1" applyBorder="1" applyAlignment="1">
      <alignment horizontal="left" vertical="center" indent="1"/>
    </xf>
    <xf numFmtId="0" fontId="5" fillId="0" borderId="25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5" fillId="0" borderId="29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 indent="1"/>
    </xf>
    <xf numFmtId="0" fontId="8" fillId="0" borderId="25" xfId="0" applyFont="1" applyBorder="1" applyAlignment="1">
      <alignment horizontal="left" vertical="center" wrapText="1" indent="1"/>
    </xf>
    <xf numFmtId="3" fontId="15" fillId="0" borderId="67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5" fillId="0" borderId="72" xfId="0" applyNumberFormat="1" applyFont="1" applyBorder="1" applyAlignment="1">
      <alignment horizontal="center" vertical="center"/>
    </xf>
    <xf numFmtId="3" fontId="5" fillId="0" borderId="77" xfId="0" applyNumberFormat="1" applyFont="1" applyBorder="1" applyAlignment="1">
      <alignment horizontal="center" vertical="center"/>
    </xf>
    <xf numFmtId="0" fontId="5" fillId="0" borderId="72" xfId="0" applyFont="1" applyBorder="1" applyAlignment="1">
      <alignment horizontal="left" vertical="center" indent="1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244210</xdr:colOff>
      <xdr:row>0</xdr:row>
      <xdr:rowOff>348719</xdr:rowOff>
    </xdr:from>
    <xdr:to>
      <xdr:col>1</xdr:col>
      <xdr:colOff>877093</xdr:colOff>
      <xdr:row>2</xdr:row>
      <xdr:rowOff>574100</xdr:rowOff>
    </xdr:to>
    <xdr:pic>
      <xdr:nvPicPr>
        <xdr:cNvPr id="3" name="Picture 2" descr="Indian Institute of Management Sirmaur - Wikipedia">
          <a:extLst>
            <a:ext uri="{FF2B5EF4-FFF2-40B4-BE49-F238E27FC236}">
              <a16:creationId xmlns:a16="http://schemas.microsoft.com/office/drawing/2014/main" id="{F98FF88A-6195-72A9-402D-64F4EE90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210" y="348719"/>
          <a:ext cx="1347258" cy="1046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7"/>
  <sheetViews>
    <sheetView tabSelected="1" zoomScale="80" zoomScaleNormal="80" workbookViewId="0">
      <selection activeCell="E25" sqref="E25"/>
    </sheetView>
  </sheetViews>
  <sheetFormatPr defaultRowHeight="14.5" x14ac:dyDescent="0.35"/>
  <cols>
    <col min="1" max="1" width="10.7265625" style="24" customWidth="1"/>
    <col min="2" max="2" width="45" customWidth="1"/>
    <col min="3" max="3" width="13.81640625" customWidth="1"/>
    <col min="4" max="4" width="36.1796875" customWidth="1"/>
    <col min="5" max="5" width="21" customWidth="1"/>
    <col min="6" max="6" width="18.81640625" customWidth="1"/>
    <col min="7" max="7" width="30.26953125" customWidth="1"/>
    <col min="8" max="8" width="43.1796875" customWidth="1"/>
    <col min="9" max="9" width="0" hidden="1" customWidth="1"/>
    <col min="14" max="14" width="25.54296875" customWidth="1"/>
    <col min="15" max="15" width="26.453125" customWidth="1"/>
    <col min="16" max="16" width="12.26953125" bestFit="1" customWidth="1"/>
  </cols>
  <sheetData>
    <row r="1" spans="1:9" ht="35.25" customHeight="1" thickTop="1" x14ac:dyDescent="0.35">
      <c r="A1" s="106" t="s">
        <v>0</v>
      </c>
      <c r="B1" s="107"/>
      <c r="C1" s="107"/>
      <c r="D1" s="107"/>
      <c r="E1" s="107"/>
      <c r="F1" s="107"/>
      <c r="G1" s="108"/>
    </row>
    <row r="2" spans="1:9" ht="29.25" customHeight="1" x14ac:dyDescent="0.35">
      <c r="A2" s="109" t="s">
        <v>34</v>
      </c>
      <c r="B2" s="110"/>
      <c r="C2" s="110"/>
      <c r="D2" s="110"/>
      <c r="E2" s="110"/>
      <c r="F2" s="110"/>
      <c r="G2" s="111"/>
    </row>
    <row r="3" spans="1:9" ht="78.75" customHeight="1" thickBot="1" x14ac:dyDescent="0.4">
      <c r="A3" s="112" t="s">
        <v>42</v>
      </c>
      <c r="B3" s="113"/>
      <c r="C3" s="113"/>
      <c r="D3" s="113"/>
      <c r="E3" s="113"/>
      <c r="F3" s="113"/>
      <c r="G3" s="114"/>
    </row>
    <row r="4" spans="1:9" ht="22.5" customHeight="1" thickTop="1" x14ac:dyDescent="0.35">
      <c r="A4" s="17" t="s">
        <v>1</v>
      </c>
      <c r="B4" s="123" t="s">
        <v>44</v>
      </c>
      <c r="C4" s="124"/>
      <c r="D4" s="125"/>
      <c r="E4" s="12" t="s">
        <v>2</v>
      </c>
      <c r="F4" s="115" t="s">
        <v>45</v>
      </c>
      <c r="G4" s="116"/>
    </row>
    <row r="5" spans="1:9" ht="29.25" customHeight="1" x14ac:dyDescent="0.35">
      <c r="A5" s="18" t="s">
        <v>4</v>
      </c>
      <c r="B5" s="120">
        <v>46058</v>
      </c>
      <c r="C5" s="121"/>
      <c r="D5" s="121"/>
      <c r="E5" s="121"/>
      <c r="F5" s="121"/>
      <c r="G5" s="122"/>
    </row>
    <row r="6" spans="1:9" ht="41.25" customHeight="1" thickBot="1" x14ac:dyDescent="0.4">
      <c r="A6" s="19" t="s">
        <v>20</v>
      </c>
      <c r="B6" s="117"/>
      <c r="C6" s="118"/>
      <c r="D6" s="118"/>
      <c r="E6" s="118"/>
      <c r="F6" s="118"/>
      <c r="G6" s="119"/>
    </row>
    <row r="7" spans="1:9" ht="21" customHeight="1" x14ac:dyDescent="0.35">
      <c r="A7" s="137" t="s">
        <v>21</v>
      </c>
      <c r="B7" s="13" t="s">
        <v>5</v>
      </c>
      <c r="C7" s="81" t="s">
        <v>43</v>
      </c>
      <c r="D7" s="82"/>
      <c r="E7" s="82"/>
      <c r="F7" s="82"/>
      <c r="G7" s="147"/>
    </row>
    <row r="8" spans="1:9" ht="18" x14ac:dyDescent="0.35">
      <c r="A8" s="138"/>
      <c r="B8" s="6" t="s">
        <v>16</v>
      </c>
      <c r="C8" s="103" t="s">
        <v>19</v>
      </c>
      <c r="D8" s="104"/>
      <c r="E8" s="104"/>
      <c r="F8" s="104"/>
      <c r="G8" s="105"/>
      <c r="I8" t="s">
        <v>18</v>
      </c>
    </row>
    <row r="9" spans="1:9" ht="20.25" customHeight="1" x14ac:dyDescent="0.35">
      <c r="A9" s="138"/>
      <c r="B9" s="10" t="s">
        <v>28</v>
      </c>
      <c r="C9" s="103" t="str">
        <f>IF(C8="Online", "Online", "IIM Sirmaur")</f>
        <v>IIM Sirmaur</v>
      </c>
      <c r="D9" s="104"/>
      <c r="E9" s="104"/>
      <c r="F9" s="104"/>
      <c r="G9" s="105"/>
      <c r="I9" t="s">
        <v>19</v>
      </c>
    </row>
    <row r="10" spans="1:9" ht="22.5" customHeight="1" x14ac:dyDescent="0.35">
      <c r="A10" s="138"/>
      <c r="B10" s="6" t="s">
        <v>17</v>
      </c>
      <c r="C10" s="148">
        <v>5</v>
      </c>
      <c r="D10" s="148"/>
      <c r="E10" s="148"/>
      <c r="F10" s="148"/>
      <c r="G10" s="149"/>
    </row>
    <row r="11" spans="1:9" ht="21" customHeight="1" x14ac:dyDescent="0.35">
      <c r="A11" s="138"/>
      <c r="B11" s="6" t="s">
        <v>25</v>
      </c>
      <c r="C11" s="103">
        <v>30</v>
      </c>
      <c r="D11" s="104"/>
      <c r="E11" s="104"/>
      <c r="F11" s="104"/>
      <c r="G11" s="105"/>
    </row>
    <row r="12" spans="1:9" ht="21" customHeight="1" x14ac:dyDescent="0.35">
      <c r="A12" s="138"/>
      <c r="B12" s="6" t="s">
        <v>22</v>
      </c>
      <c r="C12" s="103">
        <v>20</v>
      </c>
      <c r="D12" s="104"/>
      <c r="E12" s="104"/>
      <c r="F12" s="104"/>
      <c r="G12" s="105"/>
    </row>
    <row r="13" spans="1:9" ht="21.75" customHeight="1" x14ac:dyDescent="0.35">
      <c r="A13" s="138"/>
      <c r="B13" s="6" t="s">
        <v>23</v>
      </c>
      <c r="C13" s="68">
        <v>0</v>
      </c>
      <c r="D13" s="68"/>
      <c r="E13" s="68"/>
      <c r="F13" s="68"/>
      <c r="G13" s="143"/>
    </row>
    <row r="14" spans="1:9" ht="21.75" customHeight="1" x14ac:dyDescent="0.35">
      <c r="A14" s="138"/>
      <c r="B14" s="6" t="s">
        <v>91</v>
      </c>
      <c r="C14" s="148">
        <v>250000</v>
      </c>
      <c r="D14" s="148"/>
      <c r="E14" s="148"/>
      <c r="F14" s="148"/>
      <c r="G14" s="149"/>
    </row>
    <row r="15" spans="1:9" ht="23.25" customHeight="1" x14ac:dyDescent="0.35">
      <c r="A15" s="138"/>
      <c r="B15" s="10" t="s">
        <v>29</v>
      </c>
      <c r="C15" s="144"/>
      <c r="D15" s="69"/>
      <c r="E15" s="69"/>
      <c r="F15" s="69"/>
      <c r="G15" s="145"/>
    </row>
    <row r="16" spans="1:9" ht="42.75" customHeight="1" x14ac:dyDescent="0.35">
      <c r="A16" s="138"/>
      <c r="B16" s="14" t="s">
        <v>30</v>
      </c>
      <c r="C16" s="103"/>
      <c r="D16" s="104"/>
      <c r="E16" s="104"/>
      <c r="F16" s="104"/>
      <c r="G16" s="105"/>
    </row>
    <row r="17" spans="1:16" ht="24.75" customHeight="1" x14ac:dyDescent="0.35">
      <c r="A17" s="138"/>
      <c r="B17" s="9" t="s">
        <v>31</v>
      </c>
      <c r="C17" s="69"/>
      <c r="D17" s="69"/>
      <c r="E17" s="69"/>
      <c r="F17" s="69"/>
      <c r="G17" s="145"/>
    </row>
    <row r="18" spans="1:16" ht="24.75" customHeight="1" thickBot="1" x14ac:dyDescent="0.4">
      <c r="A18" s="139"/>
      <c r="B18" s="16" t="s">
        <v>26</v>
      </c>
      <c r="C18" s="140"/>
      <c r="D18" s="141"/>
      <c r="E18" s="141"/>
      <c r="F18" s="141"/>
      <c r="G18" s="142"/>
    </row>
    <row r="19" spans="1:16" ht="63.75" customHeight="1" thickTop="1" thickBot="1" x14ac:dyDescent="0.4">
      <c r="A19" s="20" t="s">
        <v>6</v>
      </c>
      <c r="B19" s="146" t="s">
        <v>36</v>
      </c>
      <c r="C19" s="146"/>
      <c r="D19" s="146"/>
      <c r="E19" s="27" t="s">
        <v>38</v>
      </c>
      <c r="F19" s="27" t="s">
        <v>39</v>
      </c>
      <c r="G19" s="15" t="s">
        <v>40</v>
      </c>
      <c r="H19" s="2"/>
      <c r="I19" s="1"/>
    </row>
    <row r="20" spans="1:16" ht="42.75" customHeight="1" thickTop="1" x14ac:dyDescent="0.35">
      <c r="A20" s="21" t="s">
        <v>7</v>
      </c>
      <c r="B20" s="70" t="s">
        <v>68</v>
      </c>
      <c r="C20" s="70"/>
      <c r="D20" s="70"/>
      <c r="E20" s="28">
        <f>C14*C10</f>
        <v>1250000</v>
      </c>
      <c r="F20" s="8">
        <f>0</f>
        <v>0</v>
      </c>
      <c r="G20" s="65" t="s">
        <v>82</v>
      </c>
    </row>
    <row r="21" spans="1:16" ht="21.75" customHeight="1" thickBot="1" x14ac:dyDescent="0.4">
      <c r="A21" s="31" t="s">
        <v>8</v>
      </c>
      <c r="B21" s="77" t="s">
        <v>24</v>
      </c>
      <c r="C21" s="78"/>
      <c r="D21" s="79"/>
      <c r="E21" s="32">
        <f>18%*E20</f>
        <v>225000</v>
      </c>
      <c r="F21" s="7">
        <f>F20*0.18</f>
        <v>0</v>
      </c>
      <c r="G21" s="33"/>
      <c r="H21" s="5"/>
      <c r="I21" s="4"/>
    </row>
    <row r="22" spans="1:16" ht="25.5" customHeight="1" thickTop="1" thickBot="1" x14ac:dyDescent="0.5">
      <c r="A22" s="39"/>
      <c r="B22" s="71" t="s">
        <v>66</v>
      </c>
      <c r="C22" s="72"/>
      <c r="D22" s="73"/>
      <c r="E22" s="40">
        <f>SUM(E20:E21)</f>
        <v>1475000</v>
      </c>
      <c r="F22" s="50">
        <f>SUM(F20:F20)</f>
        <v>0</v>
      </c>
      <c r="G22" s="34"/>
    </row>
    <row r="23" spans="1:16" ht="25.5" customHeight="1" thickBot="1" x14ac:dyDescent="0.5">
      <c r="A23" s="60" t="s">
        <v>77</v>
      </c>
      <c r="B23" s="84" t="s">
        <v>79</v>
      </c>
      <c r="C23" s="85"/>
      <c r="D23" s="85"/>
      <c r="E23" s="85"/>
      <c r="F23" s="86"/>
      <c r="G23" s="38"/>
    </row>
    <row r="24" spans="1:16" ht="25.5" customHeight="1" thickBot="1" x14ac:dyDescent="0.5">
      <c r="A24" s="37" t="s">
        <v>51</v>
      </c>
      <c r="B24" s="81" t="s">
        <v>47</v>
      </c>
      <c r="C24" s="82"/>
      <c r="D24" s="83"/>
      <c r="E24" s="28">
        <f>0.25*E20</f>
        <v>312500</v>
      </c>
      <c r="F24" s="11">
        <f>F22*0.25</f>
        <v>0</v>
      </c>
      <c r="G24" s="51"/>
    </row>
    <row r="25" spans="1:16" ht="25.5" customHeight="1" thickTop="1" thickBot="1" x14ac:dyDescent="0.5">
      <c r="A25" s="36" t="s">
        <v>52</v>
      </c>
      <c r="B25" s="81" t="s">
        <v>48</v>
      </c>
      <c r="C25" s="82"/>
      <c r="D25" s="83"/>
      <c r="E25" s="32">
        <f>0.05*E20</f>
        <v>62500</v>
      </c>
      <c r="F25" s="32">
        <f>0.05*F20</f>
        <v>0</v>
      </c>
      <c r="G25" s="52"/>
    </row>
    <row r="26" spans="1:16" ht="25.5" customHeight="1" thickTop="1" thickBot="1" x14ac:dyDescent="0.5">
      <c r="A26" s="36"/>
      <c r="B26" s="87" t="s">
        <v>78</v>
      </c>
      <c r="C26" s="88"/>
      <c r="D26" s="88"/>
      <c r="E26" s="56">
        <f>E24+E25</f>
        <v>375000</v>
      </c>
      <c r="F26" s="56">
        <f>F24+F25</f>
        <v>0</v>
      </c>
      <c r="G26" s="38"/>
    </row>
    <row r="27" spans="1:16" ht="24.5" thickTop="1" thickBot="1" x14ac:dyDescent="0.6">
      <c r="A27" s="61" t="s">
        <v>13</v>
      </c>
      <c r="B27" s="74" t="s">
        <v>37</v>
      </c>
      <c r="C27" s="75"/>
      <c r="D27" s="75"/>
      <c r="E27" s="75"/>
      <c r="F27" s="76"/>
      <c r="G27" s="45"/>
      <c r="H27" s="3"/>
      <c r="I27" s="3"/>
      <c r="J27" s="3"/>
      <c r="K27" s="3"/>
      <c r="L27" s="3"/>
      <c r="M27" s="3"/>
      <c r="N27" s="30"/>
      <c r="O27" s="30"/>
      <c r="P27" s="30"/>
    </row>
    <row r="28" spans="1:16" ht="24" thickTop="1" x14ac:dyDescent="0.55000000000000004">
      <c r="A28" s="21" t="s">
        <v>54</v>
      </c>
      <c r="B28" s="80" t="s">
        <v>9</v>
      </c>
      <c r="C28" s="80"/>
      <c r="D28" s="80"/>
      <c r="E28" s="28">
        <f>5000*$C$10</f>
        <v>25000</v>
      </c>
      <c r="F28" s="28">
        <f>5000*$C$10</f>
        <v>25000</v>
      </c>
      <c r="G28" s="46"/>
      <c r="N28" s="30"/>
      <c r="O28" s="30"/>
      <c r="P28" s="30"/>
    </row>
    <row r="29" spans="1:16" ht="23.5" x14ac:dyDescent="0.55000000000000004">
      <c r="A29" s="21" t="s">
        <v>55</v>
      </c>
      <c r="B29" s="80" t="s">
        <v>69</v>
      </c>
      <c r="C29" s="80"/>
      <c r="D29" s="80"/>
      <c r="E29" s="28">
        <f>1900*$C$12*($C$10+1)</f>
        <v>228000</v>
      </c>
      <c r="F29" s="28">
        <f>1900*$C$12*($C$10+1)</f>
        <v>228000</v>
      </c>
      <c r="G29" s="47"/>
      <c r="N29" s="30"/>
      <c r="O29" s="30"/>
      <c r="P29" s="30"/>
    </row>
    <row r="30" spans="1:16" ht="23.5" x14ac:dyDescent="0.55000000000000004">
      <c r="A30" s="21" t="s">
        <v>56</v>
      </c>
      <c r="B30" s="80" t="s">
        <v>85</v>
      </c>
      <c r="C30" s="80"/>
      <c r="D30" s="80"/>
      <c r="E30" s="28">
        <f>$C$10*2000</f>
        <v>10000</v>
      </c>
      <c r="F30" s="28">
        <f>$C$10*2000</f>
        <v>10000</v>
      </c>
      <c r="G30" s="54"/>
      <c r="N30" s="30"/>
      <c r="O30" s="30"/>
      <c r="P30" s="30"/>
    </row>
    <row r="31" spans="1:16" ht="24" thickBot="1" x14ac:dyDescent="0.6">
      <c r="A31" s="21" t="s">
        <v>56</v>
      </c>
      <c r="B31" s="70" t="s">
        <v>53</v>
      </c>
      <c r="C31" s="70"/>
      <c r="D31" s="70"/>
      <c r="E31" s="28">
        <f>300*C12*6</f>
        <v>36000</v>
      </c>
      <c r="F31" s="11">
        <v>0</v>
      </c>
      <c r="G31" s="54"/>
      <c r="N31" s="30"/>
      <c r="O31" s="30"/>
      <c r="P31" s="30"/>
    </row>
    <row r="32" spans="1:16" ht="23.5" x14ac:dyDescent="0.55000000000000004">
      <c r="A32" s="21" t="s">
        <v>57</v>
      </c>
      <c r="B32" s="69" t="s">
        <v>41</v>
      </c>
      <c r="C32" s="69"/>
      <c r="D32" s="69"/>
      <c r="E32" s="28">
        <v>3000</v>
      </c>
      <c r="F32" s="41">
        <v>0</v>
      </c>
      <c r="G32" s="55"/>
      <c r="N32" s="30"/>
      <c r="O32" s="30"/>
      <c r="P32" s="30"/>
    </row>
    <row r="33" spans="1:9" ht="18.5" x14ac:dyDescent="0.45">
      <c r="A33" s="21" t="s">
        <v>58</v>
      </c>
      <c r="B33" s="66" t="s">
        <v>27</v>
      </c>
      <c r="C33" s="66"/>
      <c r="D33" s="66"/>
      <c r="E33" s="28">
        <v>10000</v>
      </c>
      <c r="F33" s="42">
        <v>0</v>
      </c>
      <c r="G33" s="47"/>
    </row>
    <row r="34" spans="1:9" ht="26.5" x14ac:dyDescent="0.35">
      <c r="A34" s="21" t="s">
        <v>59</v>
      </c>
      <c r="B34" s="67" t="s">
        <v>32</v>
      </c>
      <c r="C34" s="67"/>
      <c r="D34" s="67"/>
      <c r="E34" s="28">
        <v>40000</v>
      </c>
      <c r="F34" s="43">
        <v>0</v>
      </c>
      <c r="G34" s="64" t="s">
        <v>82</v>
      </c>
    </row>
    <row r="35" spans="1:9" ht="22.5" customHeight="1" x14ac:dyDescent="0.35">
      <c r="A35" s="21" t="s">
        <v>60</v>
      </c>
      <c r="B35" s="68" t="s">
        <v>46</v>
      </c>
      <c r="C35" s="68"/>
      <c r="D35" s="68"/>
      <c r="E35" s="28">
        <v>30000</v>
      </c>
      <c r="F35" s="41">
        <v>0</v>
      </c>
      <c r="G35" s="48"/>
      <c r="H35" s="5"/>
      <c r="I35" s="4"/>
    </row>
    <row r="36" spans="1:9" ht="18.5" x14ac:dyDescent="0.45">
      <c r="A36" s="21" t="s">
        <v>61</v>
      </c>
      <c r="B36" s="69" t="s">
        <v>10</v>
      </c>
      <c r="C36" s="69"/>
      <c r="D36" s="69"/>
      <c r="E36" s="28">
        <v>0</v>
      </c>
      <c r="F36" s="44">
        <v>0</v>
      </c>
      <c r="G36" s="47"/>
    </row>
    <row r="37" spans="1:9" ht="18.5" x14ac:dyDescent="0.45">
      <c r="A37" s="21" t="s">
        <v>62</v>
      </c>
      <c r="B37" s="69" t="s">
        <v>11</v>
      </c>
      <c r="C37" s="69"/>
      <c r="D37" s="69"/>
      <c r="E37" s="28">
        <v>0</v>
      </c>
      <c r="F37" s="44">
        <v>0</v>
      </c>
      <c r="G37" s="47"/>
    </row>
    <row r="38" spans="1:9" ht="18.5" x14ac:dyDescent="0.45">
      <c r="A38" s="21" t="s">
        <v>63</v>
      </c>
      <c r="B38" s="69" t="s">
        <v>12</v>
      </c>
      <c r="C38" s="69"/>
      <c r="D38" s="69"/>
      <c r="E38" s="28">
        <v>4000</v>
      </c>
      <c r="F38" s="41">
        <f>500*0</f>
        <v>0</v>
      </c>
      <c r="G38" s="47"/>
    </row>
    <row r="39" spans="1:9" ht="18" x14ac:dyDescent="0.35">
      <c r="A39" s="21" t="s">
        <v>64</v>
      </c>
      <c r="B39" s="100" t="s">
        <v>33</v>
      </c>
      <c r="C39" s="101"/>
      <c r="D39" s="102"/>
      <c r="E39" s="28">
        <f>0</f>
        <v>0</v>
      </c>
      <c r="F39" s="41">
        <v>0</v>
      </c>
      <c r="G39" s="53"/>
    </row>
    <row r="40" spans="1:9" ht="19" thickBot="1" x14ac:dyDescent="0.5">
      <c r="A40" s="21" t="s">
        <v>89</v>
      </c>
      <c r="B40" s="99" t="s">
        <v>86</v>
      </c>
      <c r="C40" s="99"/>
      <c r="D40" s="99"/>
      <c r="E40" s="29">
        <v>24000</v>
      </c>
      <c r="F40" s="156">
        <v>0</v>
      </c>
      <c r="G40" s="49"/>
    </row>
    <row r="41" spans="1:9" ht="25.5" customHeight="1" thickTop="1" thickBot="1" x14ac:dyDescent="0.5">
      <c r="A41" s="58"/>
      <c r="B41" s="98" t="s">
        <v>65</v>
      </c>
      <c r="C41" s="98"/>
      <c r="D41" s="98"/>
      <c r="E41" s="57">
        <f>SUM(E28:E40)</f>
        <v>410000</v>
      </c>
      <c r="F41" s="57">
        <f>SUM(F28:F40)</f>
        <v>263000</v>
      </c>
      <c r="G41" s="59"/>
    </row>
    <row r="42" spans="1:9" ht="25.5" customHeight="1" thickBot="1" x14ac:dyDescent="0.5">
      <c r="A42" s="62" t="s">
        <v>14</v>
      </c>
      <c r="B42" s="95" t="s">
        <v>80</v>
      </c>
      <c r="C42" s="96"/>
      <c r="D42" s="96"/>
      <c r="E42" s="96"/>
      <c r="F42" s="97"/>
      <c r="G42" s="55"/>
    </row>
    <row r="43" spans="1:9" ht="18.5" x14ac:dyDescent="0.45">
      <c r="A43" s="21" t="s">
        <v>72</v>
      </c>
      <c r="B43" s="70" t="s">
        <v>50</v>
      </c>
      <c r="C43" s="70"/>
      <c r="D43" s="70"/>
      <c r="E43" s="28">
        <f>E20-E26-E41</f>
        <v>465000</v>
      </c>
      <c r="F43" s="28">
        <f>F20-F26-F41</f>
        <v>-263000</v>
      </c>
      <c r="G43" s="46"/>
    </row>
    <row r="44" spans="1:9" ht="18.5" x14ac:dyDescent="0.45">
      <c r="A44" s="23" t="s">
        <v>73</v>
      </c>
      <c r="B44" s="69" t="s">
        <v>35</v>
      </c>
      <c r="C44" s="69"/>
      <c r="D44" s="69"/>
      <c r="E44" s="28">
        <v>3000</v>
      </c>
      <c r="F44" s="28">
        <v>3000</v>
      </c>
      <c r="G44" s="47"/>
    </row>
    <row r="45" spans="1:9" ht="18" customHeight="1" x14ac:dyDescent="0.35">
      <c r="A45" s="23" t="s">
        <v>74</v>
      </c>
      <c r="B45" s="68" t="s">
        <v>49</v>
      </c>
      <c r="C45" s="68"/>
      <c r="D45" s="68"/>
      <c r="E45" s="28">
        <f>7500*$C$10</f>
        <v>37500</v>
      </c>
      <c r="F45" s="28">
        <f>7500*$C$10</f>
        <v>37500</v>
      </c>
      <c r="G45" s="63" t="s">
        <v>83</v>
      </c>
    </row>
    <row r="46" spans="1:9" ht="31.5" customHeight="1" x14ac:dyDescent="0.35">
      <c r="A46" s="23" t="s">
        <v>75</v>
      </c>
      <c r="B46" s="89" t="s">
        <v>15</v>
      </c>
      <c r="C46" s="89"/>
      <c r="D46" s="89"/>
      <c r="E46" s="28">
        <f>7500*$C$11</f>
        <v>225000</v>
      </c>
      <c r="F46" s="28">
        <f>7500*$C$11</f>
        <v>225000</v>
      </c>
      <c r="G46" s="63" t="s">
        <v>84</v>
      </c>
    </row>
    <row r="47" spans="1:9" ht="31.5" customHeight="1" x14ac:dyDescent="0.35">
      <c r="A47" s="22" t="s">
        <v>76</v>
      </c>
      <c r="B47" s="89" t="s">
        <v>87</v>
      </c>
      <c r="C47" s="89"/>
      <c r="D47" s="89"/>
      <c r="E47" s="151">
        <v>10000</v>
      </c>
      <c r="F47" s="35">
        <v>0</v>
      </c>
      <c r="G47" s="150"/>
    </row>
    <row r="48" spans="1:9" ht="19.5" customHeight="1" thickBot="1" x14ac:dyDescent="0.5">
      <c r="A48" s="155" t="s">
        <v>88</v>
      </c>
      <c r="B48" s="154" t="s">
        <v>67</v>
      </c>
      <c r="C48" s="154"/>
      <c r="D48" s="154"/>
      <c r="E48" s="152">
        <f>E43-E44-E45-E46-E47</f>
        <v>189500</v>
      </c>
      <c r="F48" s="153">
        <f>F43-F45-F46</f>
        <v>-525500</v>
      </c>
      <c r="G48" s="49"/>
    </row>
    <row r="49" spans="1:7" ht="25.5" customHeight="1" x14ac:dyDescent="0.35">
      <c r="A49" s="90" t="s">
        <v>90</v>
      </c>
      <c r="B49" s="91"/>
      <c r="C49" s="91"/>
      <c r="D49" s="91"/>
      <c r="E49" s="91"/>
      <c r="F49" s="91"/>
      <c r="G49" s="92"/>
    </row>
    <row r="50" spans="1:7" ht="69.75" customHeight="1" thickBot="1" x14ac:dyDescent="0.4">
      <c r="A50" s="93"/>
      <c r="B50" s="94"/>
      <c r="C50" s="94"/>
      <c r="D50" s="94"/>
      <c r="E50" s="91"/>
      <c r="F50" s="91"/>
      <c r="G50" s="92"/>
    </row>
    <row r="51" spans="1:7" ht="81" customHeight="1" thickTop="1" thickBot="1" x14ac:dyDescent="0.4">
      <c r="A51" s="129" t="s">
        <v>71</v>
      </c>
      <c r="B51" s="130"/>
      <c r="C51" s="130"/>
      <c r="D51" s="131"/>
      <c r="E51" s="126" t="s">
        <v>70</v>
      </c>
      <c r="F51" s="127"/>
      <c r="G51" s="128"/>
    </row>
    <row r="52" spans="1:7" ht="85.5" customHeight="1" thickBot="1" x14ac:dyDescent="0.4">
      <c r="A52" s="135" t="s">
        <v>81</v>
      </c>
      <c r="B52" s="136"/>
      <c r="C52" s="136"/>
      <c r="D52" s="132" t="s">
        <v>3</v>
      </c>
      <c r="E52" s="133"/>
      <c r="F52" s="133"/>
      <c r="G52" s="134"/>
    </row>
    <row r="55" spans="1:7" ht="20.5" x14ac:dyDescent="0.35">
      <c r="B55" s="25"/>
    </row>
    <row r="56" spans="1:7" ht="20.5" x14ac:dyDescent="0.35">
      <c r="B56" s="25"/>
    </row>
    <row r="57" spans="1:7" ht="20.5" x14ac:dyDescent="0.45">
      <c r="B57" s="26"/>
    </row>
  </sheetData>
  <mergeCells count="55">
    <mergeCell ref="E51:G51"/>
    <mergeCell ref="A51:D51"/>
    <mergeCell ref="D52:G52"/>
    <mergeCell ref="A52:C52"/>
    <mergeCell ref="C14:G14"/>
    <mergeCell ref="A7:A18"/>
    <mergeCell ref="C18:G18"/>
    <mergeCell ref="C16:G16"/>
    <mergeCell ref="C13:G13"/>
    <mergeCell ref="C15:G15"/>
    <mergeCell ref="B19:D19"/>
    <mergeCell ref="C7:G7"/>
    <mergeCell ref="C10:G10"/>
    <mergeCell ref="C12:G12"/>
    <mergeCell ref="C17:G17"/>
    <mergeCell ref="C8:G8"/>
    <mergeCell ref="C11:G11"/>
    <mergeCell ref="C9:G9"/>
    <mergeCell ref="A1:G1"/>
    <mergeCell ref="A2:G2"/>
    <mergeCell ref="A3:G3"/>
    <mergeCell ref="F4:G4"/>
    <mergeCell ref="B6:G6"/>
    <mergeCell ref="B5:G5"/>
    <mergeCell ref="B4:D4"/>
    <mergeCell ref="B45:D45"/>
    <mergeCell ref="B48:D48"/>
    <mergeCell ref="A49:G50"/>
    <mergeCell ref="B46:D46"/>
    <mergeCell ref="B36:D36"/>
    <mergeCell ref="B37:D37"/>
    <mergeCell ref="B44:D44"/>
    <mergeCell ref="B42:F42"/>
    <mergeCell ref="B41:D41"/>
    <mergeCell ref="B38:D38"/>
    <mergeCell ref="B40:D40"/>
    <mergeCell ref="B39:D39"/>
    <mergeCell ref="B43:D43"/>
    <mergeCell ref="B47:D47"/>
    <mergeCell ref="B33:D33"/>
    <mergeCell ref="B34:D34"/>
    <mergeCell ref="B35:D35"/>
    <mergeCell ref="B32:D32"/>
    <mergeCell ref="B20:D20"/>
    <mergeCell ref="B31:D31"/>
    <mergeCell ref="B22:D22"/>
    <mergeCell ref="B27:F27"/>
    <mergeCell ref="B21:D21"/>
    <mergeCell ref="B28:D28"/>
    <mergeCell ref="B24:D24"/>
    <mergeCell ref="B25:D25"/>
    <mergeCell ref="B29:D29"/>
    <mergeCell ref="B23:F23"/>
    <mergeCell ref="B26:D26"/>
    <mergeCell ref="B30:D30"/>
  </mergeCells>
  <phoneticPr fontId="16" type="noConversion"/>
  <dataValidations disablePrompts="1" count="1">
    <dataValidation type="list" allowBlank="1" showInputMessage="1" showErrorMessage="1" sqref="C8" xr:uid="{00000000-0002-0000-0000-000000000000}">
      <formula1>$I$8:$I$9</formula1>
    </dataValidation>
  </dataValidations>
  <printOptions horizontalCentered="1"/>
  <pageMargins left="0.25" right="0.25" top="0.75" bottom="0.75" header="0.3" footer="0.3"/>
  <pageSetup paperSize="9"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Thakur</dc:creator>
  <cp:lastModifiedBy>Shashi Kant Srivastava</cp:lastModifiedBy>
  <cp:lastPrinted>2026-01-28T09:24:42Z</cp:lastPrinted>
  <dcterms:created xsi:type="dcterms:W3CDTF">2024-12-05T04:48:20Z</dcterms:created>
  <dcterms:modified xsi:type="dcterms:W3CDTF">2026-02-12T11:26:06Z</dcterms:modified>
</cp:coreProperties>
</file>